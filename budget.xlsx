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1" sheetId="1" r:id="rId1"/>
    <sheet name="Q2" sheetId="2" r:id="rId2"/>
    <sheet name="Q3" sheetId="3" r:id="rId3"/>
    <sheet name="Q4" sheetId="4" r:id="rId4"/>
    <sheet name="Full Year" sheetId="5" r:id="rId5"/>
  </sheets>
</workbook>
</file>

<file path=xl/sharedStrings.xml><?xml version="1.0" encoding="utf-8"?>
<sst xmlns="http://schemas.openxmlformats.org/spreadsheetml/2006/main" count="35" uniqueCount="35">
  <si>
    <t xml:space="preserve">Category</t>
  </si>
  <si>
    <t xml:space="preserve">January</t>
  </si>
  <si>
    <t xml:space="preserve">February</t>
  </si>
  <si>
    <t xml:space="preserve">March</t>
  </si>
  <si>
    <t xml:space="preserve">Quarter Total</t>
  </si>
  <si>
    <t xml:space="preserve">Revenue</t>
  </si>
  <si>
    <t xml:space="preserve">Product Sales</t>
  </si>
  <si>
    <t xml:space="preserve">Services</t>
  </si>
  <si>
    <t xml:space="preserve">Licensing</t>
  </si>
  <si>
    <t xml:space="preserve">Total Revenue</t>
  </si>
  <si>
    <t xml:space="preserve">Expenses</t>
  </si>
  <si>
    <t xml:space="preserve">Payroll</t>
  </si>
  <si>
    <t xml:space="preserve">Marketing</t>
  </si>
  <si>
    <t xml:space="preserve">Infrastructure</t>
  </si>
  <si>
    <t xml:space="preserve">R&amp;D</t>
  </si>
  <si>
    <t xml:space="preserve">G&amp;A</t>
  </si>
  <si>
    <t xml:space="preserve">Total Expenses</t>
  </si>
  <si>
    <t xml:space="preserve">Net Income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</si>
  <si>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</si>
  <si>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</si>
  <si>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</si>
  <si>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</si>
  <si>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</si>
  <si>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</si>
  <si>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</si>
  <si>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</si>
  <si>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</si>
  <si>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Q1</t>
  </si>
  <si>
    <t xml:space="preserve">Q2</t>
  </si>
  <si>
    <t xml:space="preserve">Q3</t>
  </si>
  <si>
    <t xml:space="preserve">Q4</t>
  </si>
  <si>
    <t xml:space="preserve">Full Year</t>
  </si>
  <si>
    <t xml:space="preserve">Revenue by Category</t>
  </si>
  <si>
    <t xml:space="preserve">Annual</t>
  </si>
  <si>
    <t xml:space="preserve">Expenses by Category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</si>
</sst>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75B6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4" fontId="1" fillId="0" borderId="2" xfId="0" applyNumberFormat="1" applyFont="1" applyBorder="1"/>
    <xf numFmtId="0" fontId="1" fillId="0" borderId="1" xfId="0" applyFon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haredStrings" Target="sharedStrings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1" topLeftCell="A2" activePane="bottomLeft" state="frozen"/>
    </sheetView>
  </sheetViews>
  <sheetFormatPr defaultRowHeight="15"/>
  <cols>
    <col min="1" max="1" width="20" customWidth="1"/>
    <col min="2" max="2" width="14" customWidth="1"/>
    <col min="3" max="3" width="14" customWidth="1"/>
    <col min="4" max="4" width="14" customWidth="1"/>
    <col min="5" max="5" width="14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</row>
    <row r="3">
      <c r="A3" t="s" s="2">
        <v>6</v>
      </c>
      <c r="B3" s="3">
        <v>48000</v>
      </c>
      <c r="C3" s="3">
        <v>51000</v>
      </c>
      <c r="D3" s="3">
        <v>54000</v>
      </c>
      <c r="E3" s="3">
        <f>SUM(B3:D3)</f>
        <v>153000</v>
      </c>
    </row>
    <row r="4">
      <c r="A4" t="s" s="2">
        <v>7</v>
      </c>
      <c r="B4" s="3">
        <v>18000</v>
      </c>
      <c r="C4" s="3">
        <v>19000</v>
      </c>
      <c r="D4" s="3">
        <v>20000</v>
      </c>
      <c r="E4" s="3">
        <f>SUM(B4:D4)</f>
        <v>57000</v>
      </c>
    </row>
    <row r="5">
      <c r="A5" t="s" s="2">
        <v>8</v>
      </c>
      <c r="B5" s="3">
        <v>9000</v>
      </c>
      <c r="C5" s="3">
        <v>9500</v>
      </c>
      <c r="D5" s="3">
        <v>10000</v>
      </c>
      <c r="E5" s="3">
        <f>SUM(B5:D5)</f>
        <v>28500</v>
      </c>
    </row>
    <row r="6">
      <c r="A6" t="s" s="2">
        <v>9</v>
      </c>
      <c r="B6" s="4">
        <f>SUM(B3:B5)</f>
        <v>75000</v>
      </c>
      <c r="C6" s="4">
        <f>SUM(C3:C5)</f>
        <v>79500</v>
      </c>
      <c r="D6" s="4">
        <f>SUM(D3:D5)</f>
        <v>84000</v>
      </c>
      <c r="E6" s="4">
        <f>SUM(E3:E5)</f>
        <v>238500</v>
      </c>
    </row>
    <row r="8">
      <c r="A8" t="s" s="2">
        <v>10</v>
      </c>
    </row>
    <row r="9">
      <c r="A9" t="s" s="2">
        <v>11</v>
      </c>
      <c r="B9" s="3">
        <v>35000</v>
      </c>
      <c r="C9" s="3">
        <v>35000</v>
      </c>
      <c r="D9" s="3">
        <v>36000</v>
      </c>
      <c r="E9" s="3">
        <f>SUM(B9:D9)</f>
        <v>106000</v>
      </c>
    </row>
    <row r="10">
      <c r="A10" t="s" s="2">
        <v>12</v>
      </c>
      <c r="B10" s="3">
        <v>7000</v>
      </c>
      <c r="C10" s="3">
        <v>7500</v>
      </c>
      <c r="D10" s="3">
        <v>8000</v>
      </c>
      <c r="E10" s="3">
        <f>SUM(B10:D10)</f>
        <v>22500</v>
      </c>
    </row>
    <row r="11">
      <c r="A11" t="s" s="2">
        <v>13</v>
      </c>
      <c r="B11" s="3">
        <v>4500</v>
      </c>
      <c r="C11" s="3">
        <v>4500</v>
      </c>
      <c r="D11" s="3">
        <v>5000</v>
      </c>
      <c r="E11" s="3">
        <f>SUM(B11:D11)</f>
        <v>14000</v>
      </c>
    </row>
    <row r="12">
      <c r="A12" t="s" s="2">
        <v>14</v>
      </c>
      <c r="B12" s="3">
        <v>9000</v>
      </c>
      <c r="C12" s="3">
        <v>9000</v>
      </c>
      <c r="D12" s="3">
        <v>9500</v>
      </c>
      <c r="E12" s="3">
        <f>SUM(B12:D12)</f>
        <v>27500</v>
      </c>
    </row>
    <row r="13">
      <c r="A13" t="s" s="2">
        <v>15</v>
      </c>
      <c r="B13" s="3">
        <v>3500</v>
      </c>
      <c r="C13" s="3">
        <v>3500</v>
      </c>
      <c r="D13" s="3">
        <v>4000</v>
      </c>
      <c r="E13" s="3">
        <f>SUM(B13:D13)</f>
        <v>11000</v>
      </c>
    </row>
    <row r="14">
      <c r="A14" t="s" s="2">
        <v>16</v>
      </c>
      <c r="B14" s="4">
        <f>SUM(B9:B13)</f>
        <v>59000</v>
      </c>
      <c r="C14" s="4">
        <f>SUM(C9:C13)</f>
        <v>59500</v>
      </c>
      <c r="D14" s="4">
        <f>SUM(D9:D13)</f>
        <v>62500</v>
      </c>
      <c r="E14" s="4">
        <f>SUM(E9:E13)</f>
        <v>181000</v>
      </c>
    </row>
    <row r="16">
      <c r="A16" t="s" s="5">
        <v>17</v>
      </c>
      <c r="B16" s="4">
        <f>B6-B14</f>
        <v>16000</v>
      </c>
      <c r="C16" s="4">
        <f>C6-C14</f>
        <v>20000</v>
      </c>
      <c r="D16" s="4">
        <f>D6-D14</f>
        <v>21500</v>
      </c>
      <c r="E16" s="4">
        <f>E6-E14</f>
        <v>57500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1" topLeftCell="A2" activePane="bottomLeft" state="frozen"/>
    </sheetView>
  </sheetViews>
  <sheetFormatPr defaultRowHeight="15"/>
  <cols>
    <col min="1" max="1" width="20" customWidth="1"/>
    <col min="2" max="2" width="14" customWidth="1"/>
    <col min="3" max="3" width="14" customWidth="1"/>
    <col min="4" max="4" width="14" customWidth="1"/>
    <col min="5" max="5" width="14" customWidth="1"/>
  </cols>
  <sheetData>
    <row r="1">
      <c r="A1" t="s" s="1">
        <v>0</v>
      </c>
      <c r="B1" t="s" s="1">
        <v>18</v>
      </c>
      <c r="C1" t="s" s="1">
        <v>19</v>
      </c>
      <c r="D1" t="s" s="1">
        <v>20</v>
      </c>
      <c r="E1" t="s" s="1">
        <v>4</v>
      </c>
    </row>
    <row r="2">
      <c r="A2" t="s" s="2">
        <v>5</v>
      </c>
    </row>
    <row r="3">
      <c r="A3" t="s" s="2">
        <v>6</v>
      </c>
      <c r="B3" s="3">
        <v>56000</v>
      </c>
      <c r="C3" s="3">
        <v>58000</v>
      </c>
      <c r="D3" s="3">
        <v>62000</v>
      </c>
      <c r="E3" s="3">
        <f>SUM(B3:D3)</f>
        <v>176000</v>
      </c>
    </row>
    <row r="4">
      <c r="A4" t="s" s="2">
        <v>7</v>
      </c>
      <c r="B4" s="3">
        <v>21000</v>
      </c>
      <c r="C4" s="3">
        <v>22000</v>
      </c>
      <c r="D4" s="3">
        <v>23000</v>
      </c>
      <c r="E4" s="3">
        <f>SUM(B4:D4)</f>
        <v>66000</v>
      </c>
    </row>
    <row r="5">
      <c r="A5" t="s" s="2">
        <v>8</v>
      </c>
      <c r="B5" s="3">
        <v>10500</v>
      </c>
      <c r="C5" s="3">
        <v>11000</v>
      </c>
      <c r="D5" s="3">
        <v>11500</v>
      </c>
      <c r="E5" s="3">
        <f>SUM(B5:D5)</f>
        <v>33000</v>
      </c>
    </row>
    <row r="6">
      <c r="A6" t="s" s="2">
        <v>9</v>
      </c>
      <c r="B6" s="4">
        <f>SUM(B3:B5)</f>
        <v>87500</v>
      </c>
      <c r="C6" s="4">
        <f>SUM(C3:C5)</f>
        <v>91000</v>
      </c>
      <c r="D6" s="4">
        <f>SUM(D3:D5)</f>
        <v>96500</v>
      </c>
      <c r="E6" s="4">
        <f>SUM(E3:E5)</f>
        <v>275000</v>
      </c>
    </row>
    <row r="8">
      <c r="A8" t="s" s="2">
        <v>10</v>
      </c>
    </row>
    <row r="9">
      <c r="A9" t="s" s="2">
        <v>11</v>
      </c>
      <c r="B9" s="3">
        <v>36000</v>
      </c>
      <c r="C9" s="3">
        <v>36000</v>
      </c>
      <c r="D9" s="3">
        <v>37000</v>
      </c>
      <c r="E9" s="3">
        <f>SUM(B9:D9)</f>
        <v>109000</v>
      </c>
    </row>
    <row r="10">
      <c r="A10" t="s" s="2">
        <v>12</v>
      </c>
      <c r="B10" s="3">
        <v>8500</v>
      </c>
      <c r="C10" s="3">
        <v>9000</v>
      </c>
      <c r="D10" s="3">
        <v>9500</v>
      </c>
      <c r="E10" s="3">
        <f>SUM(B10:D10)</f>
        <v>27000</v>
      </c>
    </row>
    <row r="11">
      <c r="A11" t="s" s="2">
        <v>13</v>
      </c>
      <c r="B11" s="3">
        <v>5000</v>
      </c>
      <c r="C11" s="3">
        <v>5000</v>
      </c>
      <c r="D11" s="3">
        <v>5500</v>
      </c>
      <c r="E11" s="3">
        <f>SUM(B11:D11)</f>
        <v>15500</v>
      </c>
    </row>
    <row r="12">
      <c r="A12" t="s" s="2">
        <v>14</v>
      </c>
      <c r="B12" s="3">
        <v>9500</v>
      </c>
      <c r="C12" s="3">
        <v>10000</v>
      </c>
      <c r="D12" s="3">
        <v>10000</v>
      </c>
      <c r="E12" s="3">
        <f>SUM(B12:D12)</f>
        <v>29500</v>
      </c>
    </row>
    <row r="13">
      <c r="A13" t="s" s="2">
        <v>15</v>
      </c>
      <c r="B13" s="3">
        <v>4000</v>
      </c>
      <c r="C13" s="3">
        <v>4000</v>
      </c>
      <c r="D13" s="3">
        <v>4500</v>
      </c>
      <c r="E13" s="3">
        <f>SUM(B13:D13)</f>
        <v>12500</v>
      </c>
    </row>
    <row r="14">
      <c r="A14" t="s" s="2">
        <v>16</v>
      </c>
      <c r="B14" s="4">
        <f>SUM(B9:B13)</f>
        <v>63000</v>
      </c>
      <c r="C14" s="4">
        <f>SUM(C9:C13)</f>
        <v>64000</v>
      </c>
      <c r="D14" s="4">
        <f>SUM(D9:D13)</f>
        <v>66500</v>
      </c>
      <c r="E14" s="4">
        <f>SUM(E9:E13)</f>
        <v>193500</v>
      </c>
    </row>
    <row r="16">
      <c r="A16" t="s" s="5">
        <v>17</v>
      </c>
      <c r="B16" s="4">
        <f>B6-B14</f>
        <v>24500</v>
      </c>
      <c r="C16" s="4">
        <f>C6-C14</f>
        <v>27000</v>
      </c>
      <c r="D16" s="4">
        <f>D6-D14</f>
        <v>30000</v>
      </c>
      <c r="E16" s="4">
        <f>E6-E14</f>
        <v>81500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1" topLeftCell="A2" activePane="bottomLeft" state="frozen"/>
    </sheetView>
  </sheetViews>
  <sheetFormatPr defaultRowHeight="15"/>
  <cols>
    <col min="1" max="1" width="20" customWidth="1"/>
    <col min="2" max="2" width="14" customWidth="1"/>
    <col min="3" max="3" width="14" customWidth="1"/>
    <col min="4" max="4" width="14" customWidth="1"/>
    <col min="5" max="5" width="14" customWidth="1"/>
  </cols>
  <sheetData>
    <row r="1">
      <c r="A1" t="s" s="1">
        <v>0</v>
      </c>
      <c r="B1" t="s" s="1">
        <v>21</v>
      </c>
      <c r="C1" t="s" s="1">
        <v>22</v>
      </c>
      <c r="D1" t="s" s="1">
        <v>23</v>
      </c>
      <c r="E1" t="s" s="1">
        <v>4</v>
      </c>
    </row>
    <row r="2">
      <c r="A2" t="s" s="2">
        <v>5</v>
      </c>
    </row>
    <row r="3">
      <c r="A3" t="s" s="2">
        <v>6</v>
      </c>
      <c r="B3" s="3">
        <v>60000</v>
      </c>
      <c r="C3" s="3">
        <v>59000</v>
      </c>
      <c r="D3" s="3">
        <v>63000</v>
      </c>
      <c r="E3" s="3">
        <f>SUM(B3:D3)</f>
        <v>182000</v>
      </c>
    </row>
    <row r="4">
      <c r="A4" t="s" s="2">
        <v>7</v>
      </c>
      <c r="B4" s="3">
        <v>22000</v>
      </c>
      <c r="C4" s="3">
        <v>21000</v>
      </c>
      <c r="D4" s="3">
        <v>23000</v>
      </c>
      <c r="E4" s="3">
        <f>SUM(B4:D4)</f>
        <v>66000</v>
      </c>
    </row>
    <row r="5">
      <c r="A5" t="s" s="2">
        <v>8</v>
      </c>
      <c r="B5" s="3">
        <v>11000</v>
      </c>
      <c r="C5" s="3">
        <v>11000</v>
      </c>
      <c r="D5" s="3">
        <v>12000</v>
      </c>
      <c r="E5" s="3">
        <f>SUM(B5:D5)</f>
        <v>34000</v>
      </c>
    </row>
    <row r="6">
      <c r="A6" t="s" s="2">
        <v>9</v>
      </c>
      <c r="B6" s="4">
        <f>SUM(B3:B5)</f>
        <v>93000</v>
      </c>
      <c r="C6" s="4">
        <f>SUM(C3:C5)</f>
        <v>91000</v>
      </c>
      <c r="D6" s="4">
        <f>SUM(D3:D5)</f>
        <v>98000</v>
      </c>
      <c r="E6" s="4">
        <f>SUM(E3:E5)</f>
        <v>282000</v>
      </c>
    </row>
    <row r="8">
      <c r="A8" t="s" s="2">
        <v>10</v>
      </c>
    </row>
    <row r="9">
      <c r="A9" t="s" s="2">
        <v>11</v>
      </c>
      <c r="B9" s="3">
        <v>37000</v>
      </c>
      <c r="C9" s="3">
        <v>37000</v>
      </c>
      <c r="D9" s="3">
        <v>38000</v>
      </c>
      <c r="E9" s="3">
        <f>SUM(B9:D9)</f>
        <v>112000</v>
      </c>
    </row>
    <row r="10">
      <c r="A10" t="s" s="2">
        <v>12</v>
      </c>
      <c r="B10" s="3">
        <v>9000</v>
      </c>
      <c r="C10" s="3">
        <v>8500</v>
      </c>
      <c r="D10" s="3">
        <v>10000</v>
      </c>
      <c r="E10" s="3">
        <f>SUM(B10:D10)</f>
        <v>27500</v>
      </c>
    </row>
    <row r="11">
      <c r="A11" t="s" s="2">
        <v>13</v>
      </c>
      <c r="B11" s="3">
        <v>5500</v>
      </c>
      <c r="C11" s="3">
        <v>5500</v>
      </c>
      <c r="D11" s="3">
        <v>6000</v>
      </c>
      <c r="E11" s="3">
        <f>SUM(B11:D11)</f>
        <v>17000</v>
      </c>
    </row>
    <row r="12">
      <c r="A12" t="s" s="2">
        <v>14</v>
      </c>
      <c r="B12" s="3">
        <v>10000</v>
      </c>
      <c r="C12" s="3">
        <v>10000</v>
      </c>
      <c r="D12" s="3">
        <v>11000</v>
      </c>
      <c r="E12" s="3">
        <f>SUM(B12:D12)</f>
        <v>31000</v>
      </c>
    </row>
    <row r="13">
      <c r="A13" t="s" s="2">
        <v>15</v>
      </c>
      <c r="B13" s="3">
        <v>4000</v>
      </c>
      <c r="C13" s="3">
        <v>4000</v>
      </c>
      <c r="D13" s="3">
        <v>4500</v>
      </c>
      <c r="E13" s="3">
        <f>SUM(B13:D13)</f>
        <v>12500</v>
      </c>
    </row>
    <row r="14">
      <c r="A14" t="s" s="2">
        <v>16</v>
      </c>
      <c r="B14" s="4">
        <f>SUM(B9:B13)</f>
        <v>65500</v>
      </c>
      <c r="C14" s="4">
        <f>SUM(C9:C13)</f>
        <v>65000</v>
      </c>
      <c r="D14" s="4">
        <f>SUM(D9:D13)</f>
        <v>69500</v>
      </c>
      <c r="E14" s="4">
        <f>SUM(E9:E13)</f>
        <v>200000</v>
      </c>
    </row>
    <row r="16">
      <c r="A16" t="s" s="5">
        <v>17</v>
      </c>
      <c r="B16" s="4">
        <f>B6-B14</f>
        <v>27500</v>
      </c>
      <c r="C16" s="4">
        <f>C6-C14</f>
        <v>26000</v>
      </c>
      <c r="D16" s="4">
        <f>D6-D14</f>
        <v>28500</v>
      </c>
      <c r="E16" s="4">
        <f>E6-E14</f>
        <v>82000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1" topLeftCell="A2" activePane="bottomLeft" state="frozen"/>
    </sheetView>
  </sheetViews>
  <sheetFormatPr defaultRowHeight="15"/>
  <cols>
    <col min="1" max="1" width="20" customWidth="1"/>
    <col min="2" max="2" width="14" customWidth="1"/>
    <col min="3" max="3" width="14" customWidth="1"/>
    <col min="4" max="4" width="14" customWidth="1"/>
    <col min="5" max="5" width="14" customWidth="1"/>
  </cols>
  <sheetData>
    <row r="1">
      <c r="A1" t="s" s="1">
        <v>0</v>
      </c>
      <c r="B1" t="s" s="1">
        <v>24</v>
      </c>
      <c r="C1" t="s" s="1">
        <v>25</v>
      </c>
      <c r="D1" t="s" s="1">
        <v>26</v>
      </c>
      <c r="E1" t="s" s="1">
        <v>4</v>
      </c>
    </row>
    <row r="2">
      <c r="A2" t="s" s="2">
        <v>5</v>
      </c>
    </row>
    <row r="3">
      <c r="A3" t="s" s="2">
        <v>6</v>
      </c>
      <c r="B3" s="3">
        <v>65000</v>
      </c>
      <c r="C3" s="3">
        <v>70000</v>
      </c>
      <c r="D3" s="3">
        <v>80000</v>
      </c>
      <c r="E3" s="3">
        <f>SUM(B3:D3)</f>
        <v>215000</v>
      </c>
    </row>
    <row r="4">
      <c r="A4" t="s" s="2">
        <v>7</v>
      </c>
      <c r="B4" s="3">
        <v>24000</v>
      </c>
      <c r="C4" s="3">
        <v>25000</v>
      </c>
      <c r="D4" s="3">
        <v>28000</v>
      </c>
      <c r="E4" s="3">
        <f>SUM(B4:D4)</f>
        <v>77000</v>
      </c>
    </row>
    <row r="5">
      <c r="A5" t="s" s="2">
        <v>8</v>
      </c>
      <c r="B5" s="3">
        <v>12000</v>
      </c>
      <c r="C5" s="3">
        <v>12500</v>
      </c>
      <c r="D5" s="3">
        <v>14000</v>
      </c>
      <c r="E5" s="3">
        <f>SUM(B5:D5)</f>
        <v>38500</v>
      </c>
    </row>
    <row r="6">
      <c r="A6" t="s" s="2">
        <v>9</v>
      </c>
      <c r="B6" s="4">
        <f>SUM(B3:B5)</f>
        <v>101000</v>
      </c>
      <c r="C6" s="4">
        <f>SUM(C3:C5)</f>
        <v>107500</v>
      </c>
      <c r="D6" s="4">
        <f>SUM(D3:D5)</f>
        <v>122000</v>
      </c>
      <c r="E6" s="4">
        <f>SUM(E3:E5)</f>
        <v>330500</v>
      </c>
    </row>
    <row r="8">
      <c r="A8" t="s" s="2">
        <v>10</v>
      </c>
    </row>
    <row r="9">
      <c r="A9" t="s" s="2">
        <v>11</v>
      </c>
      <c r="B9" s="3">
        <v>38000</v>
      </c>
      <c r="C9" s="3">
        <v>38000</v>
      </c>
      <c r="D9" s="3">
        <v>40000</v>
      </c>
      <c r="E9" s="3">
        <f>SUM(B9:D9)</f>
        <v>116000</v>
      </c>
    </row>
    <row r="10">
      <c r="A10" t="s" s="2">
        <v>12</v>
      </c>
      <c r="B10" s="3">
        <v>10000</v>
      </c>
      <c r="C10" s="3">
        <v>12000</v>
      </c>
      <c r="D10" s="3">
        <v>15000</v>
      </c>
      <c r="E10" s="3">
        <f>SUM(B10:D10)</f>
        <v>37000</v>
      </c>
    </row>
    <row r="11">
      <c r="A11" t="s" s="2">
        <v>13</v>
      </c>
      <c r="B11" s="3">
        <v>6000</v>
      </c>
      <c r="C11" s="3">
        <v>6000</v>
      </c>
      <c r="D11" s="3">
        <v>7000</v>
      </c>
      <c r="E11" s="3">
        <f>SUM(B11:D11)</f>
        <v>19000</v>
      </c>
    </row>
    <row r="12">
      <c r="A12" t="s" s="2">
        <v>14</v>
      </c>
      <c r="B12" s="3">
        <v>11000</v>
      </c>
      <c r="C12" s="3">
        <v>11000</v>
      </c>
      <c r="D12" s="3">
        <v>12000</v>
      </c>
      <c r="E12" s="3">
        <f>SUM(B12:D12)</f>
        <v>34000</v>
      </c>
    </row>
    <row r="13">
      <c r="A13" t="s" s="2">
        <v>15</v>
      </c>
      <c r="B13" s="3">
        <v>4500</v>
      </c>
      <c r="C13" s="3">
        <v>4500</v>
      </c>
      <c r="D13" s="3">
        <v>5000</v>
      </c>
      <c r="E13" s="3">
        <f>SUM(B13:D13)</f>
        <v>14000</v>
      </c>
    </row>
    <row r="14">
      <c r="A14" t="s" s="2">
        <v>16</v>
      </c>
      <c r="B14" s="4">
        <f>SUM(B9:B13)</f>
        <v>69500</v>
      </c>
      <c r="C14" s="4">
        <f>SUM(C9:C13)</f>
        <v>71500</v>
      </c>
      <c r="D14" s="4">
        <f>SUM(D9:D13)</f>
        <v>79000</v>
      </c>
      <c r="E14" s="4">
        <f>SUM(E9:E13)</f>
        <v>220000</v>
      </c>
    </row>
    <row r="16">
      <c r="A16" t="s" s="5">
        <v>17</v>
      </c>
      <c r="B16" s="4">
        <f>B6-B14</f>
        <v>31500</v>
      </c>
      <c r="C16" s="4">
        <f>C6-C14</f>
        <v>36000</v>
      </c>
      <c r="D16" s="4">
        <f>D6-D14</f>
        <v>43000</v>
      </c>
      <c r="E16" s="4">
        <f>E6-E14</f>
        <v>110500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1" topLeftCell="A2" activePane="bottomLeft" state="frozen"/>
    </sheetView>
  </sheetViews>
  <sheetFormatPr defaultRowHeight="15"/>
  <cols>
    <col min="1" max="1" width="20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</cols>
  <sheetData>
    <row r="1">
      <c r="A1" t="s" s="1">
        <v>0</v>
      </c>
      <c r="B1" t="s" s="1">
        <v>27</v>
      </c>
      <c r="C1" t="s" s="1">
        <v>28</v>
      </c>
      <c r="D1" t="s" s="1">
        <v>29</v>
      </c>
      <c r="E1" t="s" s="1">
        <v>30</v>
      </c>
      <c r="F1" t="s" s="1">
        <v>31</v>
      </c>
    </row>
    <row r="2">
      <c r="A2" t="s" s="2">
        <v>5</v>
      </c>
      <c r="B2" s="3">
        <f>'Q1'!E6</f>
        <v>238500</v>
      </c>
      <c r="C2" s="3">
        <f>'Q2'!E6</f>
        <v>275000</v>
      </c>
      <c r="D2" s="3">
        <f>'Q3'!E6</f>
        <v>282000</v>
      </c>
      <c r="E2" s="3">
        <f>'Q4'!E6</f>
        <v>330500</v>
      </c>
      <c r="F2" s="3">
        <f>SUM(B2:E2)</f>
        <v>1126000</v>
      </c>
    </row>
    <row r="3">
      <c r="A3" t="s" s="2">
        <v>10</v>
      </c>
      <c r="B3" s="3">
        <f>'Q1'!E14</f>
        <v>181000</v>
      </c>
      <c r="C3" s="3">
        <f>'Q2'!E14</f>
        <v>193500</v>
      </c>
      <c r="D3" s="3">
        <f>'Q3'!E14</f>
        <v>200000</v>
      </c>
      <c r="E3" s="3">
        <f>'Q4'!E14</f>
        <v>220000</v>
      </c>
      <c r="F3" s="3">
        <f>SUM(B3:E3)</f>
        <v>794500</v>
      </c>
    </row>
    <row r="5">
      <c r="A5" t="s" s="5">
        <v>17</v>
      </c>
      <c r="B5" s="4">
        <f>'Q1'!E16</f>
        <v>57500</v>
      </c>
      <c r="C5" s="4">
        <f>'Q2'!E16</f>
        <v>81500</v>
      </c>
      <c r="D5" s="4">
        <f>'Q3'!E16</f>
        <v>82000</v>
      </c>
      <c r="E5" s="4">
        <f>'Q4'!E16</f>
        <v>110500</v>
      </c>
      <c r="F5" s="4">
        <f>SUM(B5:E5)</f>
        <v>331500</v>
      </c>
    </row>
    <row r="7">
      <c r="A7" t="s" s="2">
        <v>32</v>
      </c>
      <c r="B7" t="s" s="2">
        <v>27</v>
      </c>
      <c r="C7" t="s" s="2">
        <v>28</v>
      </c>
      <c r="D7" t="s" s="2">
        <v>29</v>
      </c>
      <c r="E7" t="s" s="2">
        <v>30</v>
      </c>
      <c r="F7" t="s" s="2">
        <v>33</v>
      </c>
    </row>
    <row r="8">
      <c r="A8" t="s" s="2">
        <v>6</v>
      </c>
      <c r="B8" s="3">
        <v>153000</v>
      </c>
      <c r="C8" s="3">
        <v>176000</v>
      </c>
      <c r="D8" s="3">
        <v>182000</v>
      </c>
      <c r="E8" s="3">
        <v>215000</v>
      </c>
      <c r="F8" s="3">
        <f>SUM(B8:E8)</f>
        <v>726000</v>
      </c>
    </row>
    <row r="9">
      <c r="A9" t="s" s="2">
        <v>7</v>
      </c>
      <c r="B9" s="3">
        <v>57000</v>
      </c>
      <c r="C9" s="3">
        <v>66000</v>
      </c>
      <c r="D9" s="3">
        <v>66000</v>
      </c>
      <c r="E9" s="3">
        <v>77000</v>
      </c>
      <c r="F9" s="3">
        <f>SUM(B9:E9)</f>
        <v>266000</v>
      </c>
    </row>
    <row r="10">
      <c r="A10" t="s" s="2">
        <v>8</v>
      </c>
      <c r="B10" s="3">
        <v>28500</v>
      </c>
      <c r="C10" s="3">
        <v>33000</v>
      </c>
      <c r="D10" s="3">
        <v>34000</v>
      </c>
      <c r="E10" s="3">
        <v>38500</v>
      </c>
      <c r="F10" s="3">
        <f>SUM(B10:E10)</f>
        <v>134000</v>
      </c>
    </row>
    <row r="12">
      <c r="A12" t="s" s="2">
        <v>34</v>
      </c>
      <c r="B12" t="s" s="2">
        <v>27</v>
      </c>
      <c r="C12" t="s" s="2">
        <v>28</v>
      </c>
      <c r="D12" t="s" s="2">
        <v>29</v>
      </c>
      <c r="E12" t="s" s="2">
        <v>30</v>
      </c>
      <c r="F12" t="s" s="2">
        <v>33</v>
      </c>
    </row>
    <row r="13">
      <c r="A13" t="s" s="2">
        <v>11</v>
      </c>
      <c r="B13" s="3">
        <v>106000</v>
      </c>
      <c r="C13" s="3">
        <v>109000</v>
      </c>
      <c r="D13" s="3">
        <v>112000</v>
      </c>
      <c r="E13" s="3">
        <v>116000</v>
      </c>
      <c r="F13" s="3">
        <f>SUM(B13:E13)</f>
        <v>443000</v>
      </c>
    </row>
    <row r="14">
      <c r="A14" t="s" s="2">
        <v>12</v>
      </c>
      <c r="B14" s="3">
        <v>22500</v>
      </c>
      <c r="C14" s="3">
        <v>27000</v>
      </c>
      <c r="D14" s="3">
        <v>27500</v>
      </c>
      <c r="E14" s="3">
        <v>37000</v>
      </c>
      <c r="F14" s="3">
        <f>SUM(B14:E14)</f>
        <v>114000</v>
      </c>
    </row>
    <row r="15">
      <c r="A15" t="s" s="2">
        <v>13</v>
      </c>
      <c r="B15" s="3">
        <v>14000</v>
      </c>
      <c r="C15" s="3">
        <v>15500</v>
      </c>
      <c r="D15" s="3">
        <v>17000</v>
      </c>
      <c r="E15" s="3">
        <v>19000</v>
      </c>
      <c r="F15" s="3">
        <f>SUM(B15:E15)</f>
        <v>65500</v>
      </c>
    </row>
    <row r="16">
      <c r="A16" t="s" s="2">
        <v>14</v>
      </c>
      <c r="B16" s="3">
        <v>27500</v>
      </c>
      <c r="C16" s="3">
        <v>29500</v>
      </c>
      <c r="D16" s="3">
        <v>31000</v>
      </c>
      <c r="E16" s="3">
        <v>34000</v>
      </c>
      <c r="F16" s="3">
        <f>SUM(B16:E16)</f>
        <v>122000</v>
      </c>
    </row>
    <row r="17">
      <c r="A17" t="s" s="2">
        <v>15</v>
      </c>
      <c r="B17" s="3">
        <v>11000</v>
      </c>
      <c r="C17" s="3">
        <v>12500</v>
      </c>
      <c r="D17" s="3">
        <v>12500</v>
      </c>
      <c r="E17" s="3">
        <v>14000</v>
      </c>
      <c r="F17" s="3">
        <f>SUM(B17:E17)</f>
        <v>50000</v>
      </c>
    </row>
  </sheetData>
</worksheet>
</file>